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3c9519bae6d328/Desktop/Case Study/"/>
    </mc:Choice>
  </mc:AlternateContent>
  <xr:revisionPtr revIDLastSave="587" documentId="8_{E6EFF490-A30B-415A-8676-99C8F37B246B}" xr6:coauthVersionLast="47" xr6:coauthVersionMax="47" xr10:uidLastSave="{D578D1AC-7789-44BF-B7B1-5434CD2158AB}"/>
  <bookViews>
    <workbookView xWindow="28680" yWindow="-120" windowWidth="29040" windowHeight="15720" xr2:uid="{55F4E87F-7A8F-4838-AB9F-36647AF0206C}"/>
  </bookViews>
  <sheets>
    <sheet name="Project Dashboard" sheetId="4" r:id="rId1"/>
    <sheet name="Timeline" sheetId="1" r:id="rId2"/>
    <sheet name="Work Planing" sheetId="2" r:id="rId3"/>
    <sheet name="Risk Register" sheetId="3" r:id="rId4"/>
    <sheet name="Auxilia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F17" i="5" l="1"/>
  <c r="F18" i="5"/>
  <c r="F19" i="5"/>
  <c r="F20" i="5"/>
  <c r="E18" i="5"/>
  <c r="E19" i="5"/>
  <c r="E20" i="5"/>
  <c r="D17" i="5"/>
  <c r="D18" i="5" s="1"/>
  <c r="D19" i="5" s="1"/>
  <c r="D20" i="5" s="1"/>
  <c r="C17" i="5"/>
  <c r="C18" i="5"/>
  <c r="C19" i="5"/>
  <c r="C20" i="5"/>
  <c r="C16" i="5"/>
  <c r="B16" i="5"/>
  <c r="B17" i="5"/>
  <c r="B18" i="5"/>
  <c r="B19" i="5"/>
  <c r="B20" i="5"/>
  <c r="A20" i="5"/>
  <c r="A19" i="5"/>
  <c r="A17" i="5"/>
  <c r="A18" i="5"/>
  <c r="A16" i="5"/>
  <c r="B4" i="5"/>
  <c r="B3" i="5"/>
  <c r="B5" i="5" s="1"/>
  <c r="C33" i="4" a="1"/>
  <c r="C32" i="4" a="1"/>
  <c r="C31" i="4" a="1"/>
  <c r="B33" i="4" a="1"/>
  <c r="B32" i="4" a="1"/>
  <c r="B31" i="4" a="1"/>
  <c r="A6" i="4"/>
  <c r="G6" i="1"/>
  <c r="G5" i="1"/>
  <c r="G4" i="1"/>
  <c r="G3" i="1"/>
  <c r="E17" i="5" s="1"/>
  <c r="G2" i="1"/>
  <c r="E16" i="5" s="1"/>
  <c r="C6" i="4"/>
  <c r="I2" i="3"/>
  <c r="I4" i="3"/>
  <c r="H2" i="3"/>
  <c r="H3" i="3"/>
  <c r="I3" i="3" s="1"/>
  <c r="H4" i="3"/>
  <c r="H5" i="3"/>
  <c r="I5" i="3" s="1"/>
  <c r="E14" i="2"/>
  <c r="E10" i="2"/>
  <c r="E6" i="2"/>
  <c r="E2" i="2"/>
  <c r="F14" i="1"/>
  <c r="F16" i="5" l="1"/>
  <c r="G18" i="5"/>
  <c r="H18" i="5" s="1"/>
  <c r="G16" i="5"/>
  <c r="G19" i="5"/>
  <c r="H19" i="5" s="1"/>
  <c r="G20" i="5"/>
  <c r="H20" i="5" s="1"/>
  <c r="G17" i="5"/>
  <c r="H17" i="5" s="1"/>
  <c r="B27" i="5"/>
  <c r="B26" i="5"/>
  <c r="B12" i="5"/>
  <c r="E6" i="4"/>
  <c r="B9" i="5"/>
  <c r="B10" i="5"/>
  <c r="B11" i="5"/>
  <c r="D25" i="4" a="1"/>
  <c r="B22" i="4"/>
  <c r="D26" i="4" a="1"/>
  <c r="B21" i="4"/>
  <c r="D23" i="4" a="1"/>
  <c r="B23" i="4"/>
  <c r="D22" i="4" a="1"/>
  <c r="B26" i="4"/>
  <c r="D21" i="4" a="1"/>
  <c r="B24" i="4"/>
  <c r="D24" i="4" a="1"/>
  <c r="B25" i="4"/>
  <c r="H16" i="5" l="1"/>
  <c r="B28" i="5"/>
  <c r="B29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<sst xmlns="http://schemas.openxmlformats.org/spreadsheetml/2006/main" count="216" uniqueCount="172">
  <si>
    <t>Phase</t>
  </si>
  <si>
    <t>Phase Name</t>
  </si>
  <si>
    <t>Duration</t>
  </si>
  <si>
    <t>Percentage Completed</t>
  </si>
  <si>
    <t>Phase 1</t>
  </si>
  <si>
    <t>Phase 2</t>
  </si>
  <si>
    <t>Phase 3</t>
  </si>
  <si>
    <t>Phase 4</t>
  </si>
  <si>
    <t>Phase 5</t>
  </si>
  <si>
    <t>Project Initiation and Planning</t>
  </si>
  <si>
    <t>Deliverables</t>
  </si>
  <si>
    <t>2 days</t>
  </si>
  <si>
    <t>Day 1</t>
  </si>
  <si>
    <t>Project Charter</t>
  </si>
  <si>
    <t>Project Charter
Project Planning</t>
  </si>
  <si>
    <t>Product Discovery and Backlog</t>
  </si>
  <si>
    <t>Key Activities</t>
  </si>
  <si>
    <t>Stakeholder identification
Project Charter
Requirements</t>
  </si>
  <si>
    <t>Objective</t>
  </si>
  <si>
    <t>Define the project scope</t>
  </si>
  <si>
    <t>Translate business needs into an actinoable backlog</t>
  </si>
  <si>
    <t>User Stories
MVP definition</t>
  </si>
  <si>
    <t>Jira Backlog
MVP</t>
  </si>
  <si>
    <t>CRM Configuration</t>
  </si>
  <si>
    <t>Salesforce CRM prototype</t>
  </si>
  <si>
    <t>Build the CRM Solution</t>
  </si>
  <si>
    <t>3 days</t>
  </si>
  <si>
    <t>Testing and Validation</t>
  </si>
  <si>
    <t>Validate the new requirements</t>
  </si>
  <si>
    <t>Test Cases
UAT</t>
  </si>
  <si>
    <t>Test Plans
UAT Results</t>
  </si>
  <si>
    <t>1 day</t>
  </si>
  <si>
    <t>Project Closure</t>
  </si>
  <si>
    <t>Evaluate final results and documentation of the project</t>
  </si>
  <si>
    <t>KPI
New discoveries
Final documentation</t>
  </si>
  <si>
    <t>KPI results
Final Documentation</t>
  </si>
  <si>
    <t>Milestones</t>
  </si>
  <si>
    <t>Description</t>
  </si>
  <si>
    <t>Target Date</t>
  </si>
  <si>
    <t>Status</t>
  </si>
  <si>
    <t>Project Charter Approved</t>
  </si>
  <si>
    <t>Requirements Completed</t>
  </si>
  <si>
    <t>MVP Backlog</t>
  </si>
  <si>
    <t>CRM Prototype</t>
  </si>
  <si>
    <t>UAT Completed</t>
  </si>
  <si>
    <t>Project Scope and objectives approved</t>
  </si>
  <si>
    <t>Requierements and stakeholders need defined</t>
  </si>
  <si>
    <t>User stories done and prioritised</t>
  </si>
  <si>
    <t>Salesforce CRM configure</t>
  </si>
  <si>
    <t xml:space="preserve">CRM tested </t>
  </si>
  <si>
    <t>KPIs and final documentation</t>
  </si>
  <si>
    <t>Day 10</t>
  </si>
  <si>
    <t>Day 9</t>
  </si>
  <si>
    <t>Completed</t>
  </si>
  <si>
    <t>Salesforce Configuration</t>
  </si>
  <si>
    <t>Day 2</t>
  </si>
  <si>
    <t>Day 4</t>
  </si>
  <si>
    <t>2 day</t>
  </si>
  <si>
    <t>Day 7</t>
  </si>
  <si>
    <t>Code</t>
  </si>
  <si>
    <t>Task</t>
  </si>
  <si>
    <t>Owner</t>
  </si>
  <si>
    <t>1.0</t>
  </si>
  <si>
    <t>1.1</t>
  </si>
  <si>
    <t>1.2</t>
  </si>
  <si>
    <t>1.3</t>
  </si>
  <si>
    <t>2.0</t>
  </si>
  <si>
    <t>2.1</t>
  </si>
  <si>
    <t>2.2</t>
  </si>
  <si>
    <t>2.3</t>
  </si>
  <si>
    <t>3.0</t>
  </si>
  <si>
    <t>3.1</t>
  </si>
  <si>
    <t>3.2</t>
  </si>
  <si>
    <t>3.3</t>
  </si>
  <si>
    <t>4.0</t>
  </si>
  <si>
    <t>4.1</t>
  </si>
  <si>
    <t>4.2</t>
  </si>
  <si>
    <t>Project Management</t>
  </si>
  <si>
    <t>Governance, Scope and Risk Management</t>
  </si>
  <si>
    <t>PM</t>
  </si>
  <si>
    <t>Define and approve he project scope, objectives and main stakeholders</t>
  </si>
  <si>
    <t>Project Schedule</t>
  </si>
  <si>
    <t>Define the project schedule, phases and milestones</t>
  </si>
  <si>
    <t>Risk Management</t>
  </si>
  <si>
    <t>Product Management</t>
  </si>
  <si>
    <t>Requirements and Backlog Definition</t>
  </si>
  <si>
    <t>PO</t>
  </si>
  <si>
    <t>Product Discovery</t>
  </si>
  <si>
    <t>Identify user profiles and business needs</t>
  </si>
  <si>
    <t>User Stories</t>
  </si>
  <si>
    <t>Write user stories and acceptance criteria</t>
  </si>
  <si>
    <t>MVP Priorization</t>
  </si>
  <si>
    <t>Priorize the backlog and define the MVP scope</t>
  </si>
  <si>
    <t>Salesforce Prototype Build</t>
  </si>
  <si>
    <t>Salesforce Consultant</t>
  </si>
  <si>
    <t>Data Model Setup</t>
  </si>
  <si>
    <t>Pipeline Stages</t>
  </si>
  <si>
    <t>Sample Data Load</t>
  </si>
  <si>
    <t>Configure Salesforce objects (accounts, opportunities…)</t>
  </si>
  <si>
    <t>Salesforce Consultant + PO</t>
  </si>
  <si>
    <t>Load 15-20 fictional records to support CRM testing</t>
  </si>
  <si>
    <t>Quality Assurance</t>
  </si>
  <si>
    <t>KPI Framework</t>
  </si>
  <si>
    <t>User Acceptance Testing Execution</t>
  </si>
  <si>
    <t>Prepare and execute UAT to validate the CRM solution</t>
  </si>
  <si>
    <t>PO + Business Stakeholder</t>
  </si>
  <si>
    <t>PM + PO</t>
  </si>
  <si>
    <t>PO + Sales Lead</t>
  </si>
  <si>
    <t>CRM Implementation</t>
  </si>
  <si>
    <t>Identify risks, assess their impacts and define mitigation plans</t>
  </si>
  <si>
    <t>Configure sales pipelines stages based on business requirements</t>
  </si>
  <si>
    <t>Define metrics to monitor performance</t>
  </si>
  <si>
    <t>Risk ID</t>
  </si>
  <si>
    <t>Category</t>
  </si>
  <si>
    <t>Probability</t>
  </si>
  <si>
    <t>Impact</t>
  </si>
  <si>
    <t>Mitigation Plan</t>
  </si>
  <si>
    <t>R01</t>
  </si>
  <si>
    <t>R02</t>
  </si>
  <si>
    <t>R03</t>
  </si>
  <si>
    <t>R04</t>
  </si>
  <si>
    <t>Adoption</t>
  </si>
  <si>
    <t>Data Quality</t>
  </si>
  <si>
    <t>Scope</t>
  </si>
  <si>
    <t>Technical</t>
  </si>
  <si>
    <t>Sales representatives may continue using Excel instead of the new Salesforce solution beacuse is what they are used to</t>
  </si>
  <si>
    <t>High</t>
  </si>
  <si>
    <t xml:space="preserve">Listen their user experience and provide the correct onboarding to this new platform </t>
  </si>
  <si>
    <t>Incomplete or duplciarte records from existing spreedsheets may reduce the accuracy of he solution</t>
  </si>
  <si>
    <t>Medium</t>
  </si>
  <si>
    <t>Define validation rules and mandatory fields and review the data before testing it</t>
  </si>
  <si>
    <t>Additional automation may expand the initial MVP scope</t>
  </si>
  <si>
    <t>Low</t>
  </si>
  <si>
    <t>Prioritise requirements, assses change requesta and defer no-essential features</t>
  </si>
  <si>
    <t>Limitation of the Salesforce Edition may prevent of the ideal features and pipelines to be implemented</t>
  </si>
  <si>
    <t>Verify platform  capabilities and permissions before starting the implementation</t>
  </si>
  <si>
    <t>Risk Score</t>
  </si>
  <si>
    <t>Priority</t>
  </si>
  <si>
    <t>CAMINNA CRM</t>
  </si>
  <si>
    <t>Project Control Dashboard</t>
  </si>
  <si>
    <t>Reporting Date</t>
  </si>
  <si>
    <t>Project Timeline</t>
  </si>
  <si>
    <t>Milestones Completed</t>
  </si>
  <si>
    <t>Critical Risks</t>
  </si>
  <si>
    <t>Next Milestone</t>
  </si>
  <si>
    <t>Current Phase</t>
  </si>
  <si>
    <t>Current Phase Name</t>
  </si>
  <si>
    <t>Next Phase</t>
  </si>
  <si>
    <t>Next Phase Name</t>
  </si>
  <si>
    <t>Upcomping Tasks</t>
  </si>
  <si>
    <t>Current Task</t>
  </si>
  <si>
    <t>Next Task</t>
  </si>
  <si>
    <t>Nexts Tasks</t>
  </si>
  <si>
    <t>Milestone Status</t>
  </si>
  <si>
    <t>Count</t>
  </si>
  <si>
    <t>Pending</t>
  </si>
  <si>
    <t>Total</t>
  </si>
  <si>
    <t>% Progress</t>
  </si>
  <si>
    <t>Risk Priority</t>
  </si>
  <si>
    <t>Critical</t>
  </si>
  <si>
    <t>Gannt</t>
  </si>
  <si>
    <t>Phase Nº</t>
  </si>
  <si>
    <t>Start Day</t>
  </si>
  <si>
    <t>Tasks Completion</t>
  </si>
  <si>
    <t>Tasks Metrics</t>
  </si>
  <si>
    <t>Value</t>
  </si>
  <si>
    <t>Completed Tasks</t>
  </si>
  <si>
    <t>Pending Tasks</t>
  </si>
  <si>
    <t>Total Tasks</t>
  </si>
  <si>
    <t>Progress</t>
  </si>
  <si>
    <t>Done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</si>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</sst>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2" tint="-0.749992370372631"/>
      <name val="Aptos Narrow"/>
      <family val="2"/>
      <scheme val="minor"/>
    </font>
    <font>
      <sz val="11"/>
      <color rgb="FF00206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0" fontId="0" fillId="0" borderId="0" xfId="1" applyNumberFormat="1" applyFont="1"/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/>
    <xf numFmtId="0" fontId="6" fillId="2" borderId="0" xfId="0" applyFont="1" applyFill="1"/>
    <xf numFmtId="14" fontId="6" fillId="2" borderId="0" xfId="0" applyNumberFormat="1" applyFont="1" applyFill="1"/>
    <xf numFmtId="0" fontId="7" fillId="2" borderId="0" xfId="0" applyFont="1" applyFill="1"/>
    <xf numFmtId="0" fontId="8" fillId="2" borderId="0" xfId="0" applyFont="1" applyFill="1"/>
    <xf numFmtId="0" fontId="5" fillId="2" borderId="0" xfId="0" applyFont="1" applyFill="1"/>
    <xf numFmtId="0" fontId="9" fillId="0" borderId="0" xfId="0" applyFont="1"/>
    <xf numFmtId="0" fontId="11" fillId="0" borderId="7" xfId="0" applyFont="1" applyBorder="1"/>
    <xf numFmtId="0" fontId="12" fillId="0" borderId="7" xfId="0" applyFont="1" applyBorder="1" applyAlignment="1">
      <alignment wrapText="1"/>
    </xf>
    <xf numFmtId="0" fontId="11" fillId="0" borderId="8" xfId="0" applyFont="1" applyBorder="1"/>
    <xf numFmtId="0" fontId="12" fillId="0" borderId="8" xfId="0" applyFont="1" applyBorder="1" applyAlignment="1">
      <alignment wrapText="1"/>
    </xf>
    <xf numFmtId="0" fontId="11" fillId="0" borderId="5" xfId="0" applyFont="1" applyBorder="1"/>
    <xf numFmtId="0" fontId="12" fillId="0" borderId="5" xfId="0" applyFont="1" applyBorder="1"/>
    <xf numFmtId="0" fontId="0" fillId="0" borderId="5" xfId="0" applyBorder="1"/>
    <xf numFmtId="0" fontId="12" fillId="0" borderId="8" xfId="0" applyFont="1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10" fontId="10" fillId="3" borderId="3" xfId="1" applyNumberFormat="1" applyFont="1" applyFill="1" applyBorder="1" applyAlignment="1">
      <alignment horizontal="center"/>
    </xf>
    <xf numFmtId="10" fontId="10" fillId="3" borderId="4" xfId="1" applyNumberFormat="1" applyFont="1" applyFill="1" applyBorder="1" applyAlignment="1">
      <alignment horizontal="center"/>
    </xf>
    <xf numFmtId="0" fontId="12" fillId="0" borderId="8" xfId="0" applyFont="1" applyBorder="1" applyAlignment="1">
      <alignment horizontal="center" wrapText="1"/>
    </xf>
    <xf numFmtId="0" fontId="12" fillId="0" borderId="8" xfId="0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orcentaje" xfId="1" builtinId="5"/>
  </cellStyles>
  <dxfs count="34">
    <dxf>
      <font>
        <b/>
        <i val="0"/>
        <color theme="1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123-41AA-86AB-6D9DCE07F218}"/>
              </c:ext>
            </c:extLst>
          </c:dPt>
          <c:dPt>
            <c:idx val="1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123-41AA-86AB-6D9DCE07F218}"/>
              </c:ext>
            </c:extLst>
          </c:dPt>
          <c:cat>
            <c:strRef>
              <c:f>Auxiliar!$A$3:$A$4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Auxiliar!$B$3:$B$4</c:f>
              <c:numCache>
                <c:formatCode>General</c:formatCode>
                <c:ptCount val="2"/>
                <c:pt idx="0">
                  <c:v>2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23-41AA-86AB-6D9DCE07F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360-4D37-8EE5-BD75A69232FB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360-4D37-8EE5-BD75A69232FB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360-4D37-8EE5-BD75A69232FB}"/>
              </c:ext>
            </c:extLst>
          </c:dPt>
          <c:cat>
            <c:strRef>
              <c:f>Auxiliar!$A$9:$A$12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Auxiliar!$B$9:$B$12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60-4D37-8EE5-BD75A6923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6915600"/>
        <c:axId val="396905040"/>
      </c:barChart>
      <c:catAx>
        <c:axId val="39691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96905040"/>
        <c:crosses val="autoZero"/>
        <c:auto val="1"/>
        <c:lblAlgn val="ctr"/>
        <c:lblOffset val="100"/>
        <c:noMultiLvlLbl val="0"/>
      </c:catAx>
      <c:valAx>
        <c:axId val="39690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969156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71C-4D85-B1D1-2F67A8A4CABA}"/>
              </c:ext>
            </c:extLst>
          </c:dPt>
          <c:dPt>
            <c:idx val="1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71C-4D85-B1D1-2F67A8A4CABA}"/>
              </c:ext>
            </c:extLst>
          </c:dPt>
          <c:dLbls>
            <c:dLbl>
              <c:idx val="0"/>
              <c:layout>
                <c:manualLayout>
                  <c:x val="0.13553074528032022"/>
                  <c:y val="-5.2671719059172502E-3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F43EEDF-6A18-4A18-BE43-9E4EC4DA47CE}" type="CATEGORYNAME">
                      <a:rPr lang="en-US">
                        <a:solidFill>
                          <a:schemeClr val="bg1"/>
                        </a:solidFill>
                      </a:rPr>
                      <a:pPr>
                        <a:defRPr/>
                      </a:pPr>
                      <a:t>[NOMBRE DE CATEGORÍA]</a:t>
                    </a:fld>
                    <a:r>
                      <a:rPr lang="en-US" baseline="0"/>
                      <a:t>
</a:t>
                    </a:r>
                    <a:fld id="{1044AF7E-091E-429C-B778-2108DF863348}" type="PERCENTAG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/>
                      </a:pPr>
                      <a:t>[PORCENTAJE]</a:t>
                    </a:fld>
                    <a:endParaRPr lang="en-US" baseline="0"/>
                  </a:p>
                </c:rich>
              </c:tx>
              <c:spPr>
                <a:solidFill>
                  <a:srgbClr val="4EA72E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471516703763556"/>
                      <c:h val="0.1856413489725444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71C-4D85-B1D1-2F67A8A4CABA}"/>
                </c:ext>
              </c:extLst>
            </c:dLbl>
            <c:dLbl>
              <c:idx val="1"/>
              <c:layout>
                <c:manualLayout>
                  <c:x val="-9.0353792521673734E-2"/>
                  <c:y val="-4.6018994611791778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041EEEA-3A45-49AA-B373-3BA993B22166}" type="CATEGORYNAME">
                      <a:rPr lang="en-US">
                        <a:solidFill>
                          <a:sysClr val="windowText" lastClr="000000"/>
                        </a:solidFill>
                      </a:rPr>
                      <a:pPr>
                        <a:defRPr/>
                      </a:pPr>
                      <a:t>[NOMBRE DE CATEGORÍA]</a:t>
                    </a:fld>
                    <a:r>
                      <a:rPr lang="en-US" baseline="0">
                        <a:solidFill>
                          <a:sysClr val="windowText" lastClr="000000"/>
                        </a:solidFill>
                      </a:rPr>
                      <a:t>
</a:t>
                    </a:r>
                    <a:fld id="{315BD2D3-B4B1-486C-A51F-B8A59438A5D7}" type="PERCENTAGE">
                      <a:rPr lang="en-US" baseline="0">
                        <a:solidFill>
                          <a:sysClr val="windowText" lastClr="000000"/>
                        </a:solidFill>
                      </a:rPr>
                      <a:pPr>
                        <a:defRPr/>
                      </a:pPr>
                      <a:t>[PORCENTAJE]</a:t>
                    </a:fld>
                    <a:endParaRPr lang="en-US" baseline="0">
                      <a:solidFill>
                        <a:sysClr val="windowText" lastClr="000000"/>
                      </a:solidFill>
                    </a:endParaRPr>
                  </a:p>
                </c:rich>
              </c:tx>
              <c:spPr>
                <a:solidFill>
                  <a:srgbClr val="E8E8E8">
                    <a:lumMod val="90000"/>
                  </a:srgbClr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671C-4D85-B1D1-2F67A8A4CABA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Auxiliar!$A$26:$A$27</c:f>
              <c:strCache>
                <c:ptCount val="2"/>
                <c:pt idx="0">
                  <c:v>Completed Tasks</c:v>
                </c:pt>
                <c:pt idx="1">
                  <c:v>Pending Tasks</c:v>
                </c:pt>
              </c:strCache>
            </c:strRef>
          </c:cat>
          <c:val>
            <c:numRef>
              <c:f>Auxiliar!$B$26:$B$27</c:f>
              <c:numCache>
                <c:formatCode>General</c:formatCode>
                <c:ptCount val="2"/>
                <c:pt idx="0">
                  <c:v>4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1C-4D85-B1D1-2F67A8A4C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DIagrama</a:t>
            </a:r>
            <a:r>
              <a:rPr lang="es-ES" baseline="0"/>
              <a:t> de Gannt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Auxiliar!$D$15</c:f>
              <c:strCache>
                <c:ptCount val="1"/>
                <c:pt idx="0">
                  <c:v>Start Day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Auxiliar!$A$16:$A$20</c:f>
              <c:strCache>
                <c:ptCount val="5"/>
                <c:pt idx="0">
                  <c:v>Phase 1</c:v>
                </c:pt>
                <c:pt idx="1">
                  <c:v>Phase 2</c:v>
                </c:pt>
                <c:pt idx="2">
                  <c:v>Phase 3</c:v>
                </c:pt>
                <c:pt idx="3">
                  <c:v>Phase 4</c:v>
                </c:pt>
                <c:pt idx="4">
                  <c:v>Phase 5</c:v>
                </c:pt>
              </c:strCache>
            </c:strRef>
          </c:cat>
          <c:val>
            <c:numRef>
              <c:f>Auxiliar!$D$16:$D$20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BF-42F3-8C61-A029550C0295}"/>
            </c:ext>
          </c:extLst>
        </c:ser>
        <c:ser>
          <c:idx val="1"/>
          <c:order val="1"/>
          <c:tx>
            <c:strRef>
              <c:f>Auxiliar!$F$15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Auxiliar!$A$16:$A$20</c:f>
              <c:strCache>
                <c:ptCount val="5"/>
                <c:pt idx="0">
                  <c:v>Phase 1</c:v>
                </c:pt>
                <c:pt idx="1">
                  <c:v>Phase 2</c:v>
                </c:pt>
                <c:pt idx="2">
                  <c:v>Phase 3</c:v>
                </c:pt>
                <c:pt idx="3">
                  <c:v>Phase 4</c:v>
                </c:pt>
                <c:pt idx="4">
                  <c:v>Phase 5</c:v>
                </c:pt>
              </c:strCache>
            </c:strRef>
          </c:cat>
          <c:val>
            <c:numRef>
              <c:f>Auxiliar!$F$16:$F$20</c:f>
              <c:numCache>
                <c:formatCode>General</c:formatCode>
                <c:ptCount val="5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BF-42F3-8C61-A029550C0295}"/>
            </c:ext>
          </c:extLst>
        </c:ser>
        <c:ser>
          <c:idx val="2"/>
          <c:order val="2"/>
          <c:tx>
            <c:strRef>
              <c:f>Auxiliar!$G$15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Auxiliar!$A$16:$A$20</c:f>
              <c:strCache>
                <c:ptCount val="5"/>
                <c:pt idx="0">
                  <c:v>Phase 1</c:v>
                </c:pt>
                <c:pt idx="1">
                  <c:v>Phase 2</c:v>
                </c:pt>
                <c:pt idx="2">
                  <c:v>Phase 3</c:v>
                </c:pt>
                <c:pt idx="3">
                  <c:v>Phase 4</c:v>
                </c:pt>
                <c:pt idx="4">
                  <c:v>Phase 5</c:v>
                </c:pt>
              </c:strCache>
            </c:strRef>
          </c:cat>
          <c:val>
            <c:numRef>
              <c:f>Auxiliar!$G$16:$G$20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BF-42F3-8C61-A029550C0295}"/>
            </c:ext>
          </c:extLst>
        </c:ser>
        <c:ser>
          <c:idx val="3"/>
          <c:order val="3"/>
          <c:tx>
            <c:strRef>
              <c:f>Auxiliar!$H$15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Auxiliar!$A$16:$A$20</c:f>
              <c:strCache>
                <c:ptCount val="5"/>
                <c:pt idx="0">
                  <c:v>Phase 1</c:v>
                </c:pt>
                <c:pt idx="1">
                  <c:v>Phase 2</c:v>
                </c:pt>
                <c:pt idx="2">
                  <c:v>Phase 3</c:v>
                </c:pt>
                <c:pt idx="3">
                  <c:v>Phase 4</c:v>
                </c:pt>
                <c:pt idx="4">
                  <c:v>Phase 5</c:v>
                </c:pt>
              </c:strCache>
            </c:strRef>
          </c:cat>
          <c:val>
            <c:numRef>
              <c:f>Auxiliar!$H$16:$H$20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BF-42F3-8C61-A029550C0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7030800"/>
        <c:axId val="397028400"/>
      </c:barChart>
      <c:catAx>
        <c:axId val="39703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97028400"/>
        <c:crosses val="autoZero"/>
        <c:auto val="1"/>
        <c:lblAlgn val="ctr"/>
        <c:lblOffset val="100"/>
        <c:noMultiLvlLbl val="0"/>
      </c:catAx>
      <c:valAx>
        <c:axId val="39702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9703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67235</xdr:colOff>
      <xdr:row>6</xdr:row>
      <xdr:rowOff>100853</xdr:rowOff>
    </xdr:from>
    <xdr:to>
      <xdr:col>3</xdr:col>
      <xdr:colOff>2109881</xdr:colOff>
      <xdr:row>16</xdr:row>
      <xdr:rowOff>151465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2F15E35-E64A-4051-BE9E-7598BAB8AE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57977</xdr:colOff>
      <xdr:row>6</xdr:row>
      <xdr:rowOff>112782</xdr:rowOff>
    </xdr:from>
    <xdr:to>
      <xdr:col>6</xdr:col>
      <xdr:colOff>0</xdr:colOff>
      <xdr:row>16</xdr:row>
      <xdr:rowOff>145912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0671462-843F-461F-8163-FB93734E4C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1357540</xdr:colOff>
      <xdr:row>33</xdr:row>
      <xdr:rowOff>108486</xdr:rowOff>
    </xdr:from>
    <xdr:to>
      <xdr:col>3</xdr:col>
      <xdr:colOff>30391</xdr:colOff>
      <xdr:row>47</xdr:row>
      <xdr:rowOff>109393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3C54709-C114-48FC-B9F3-154A42B0BF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794862</xdr:colOff>
      <xdr:row>19</xdr:row>
      <xdr:rowOff>99495</xdr:rowOff>
    </xdr:from>
    <xdr:to>
      <xdr:col>11</xdr:col>
      <xdr:colOff>573273</xdr:colOff>
      <xdr:row>34</xdr:row>
      <xdr:rowOff>76692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0C1861D-7E98-4DBC-BA29-02FF0195A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29EB98-F1B0-4B83-8274-2E3F817E2B4A}" name="Phases" displayName="Phases" ref="A1:G6" totalsRowShown="0" dataDxfId="33">
  <autoFilter ref="A1:G6" xr:uid="{2429EB98-F1B0-4B83-8274-2E3F817E2B4A}"/>
  <tableColumns count="7">
    <tableColumn id="1" xr3:uid="{E055484A-8D15-49D9-AFDC-BF02400F8D4A}" name="Phase" dataDxfId="32"/>
    <tableColumn id="2" xr3:uid="{0D677D69-C958-4B56-8D94-79B2C8853F28}" name="Phase Name" dataDxfId="31"/>
    <tableColumn id="3" xr3:uid="{7D0A0D56-01D0-429E-86BB-BEA84B504F03}" name="Objective" dataDxfId="30"/>
    <tableColumn id="7" xr3:uid="{BC03DD6E-3073-438C-A4DD-268EC42643F7}" name="Key Activities" dataDxfId="29"/>
    <tableColumn id="5" xr3:uid="{36071039-D317-416B-A648-8514E3E7B827}" name="Deliverables" dataDxfId="28"/>
    <tableColumn id="6" xr3:uid="{16B98DAD-ADA8-428C-B251-8B335D2331EA}" name="Duration" dataDxfId="27"/>
    <tableColumn id="4" xr3:uid="{E78003D0-240F-446D-8727-58B49D756812}" name="Completed" dataDxfId="26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3165DC-9152-499B-A0EC-D31DC4E95DE9}" name="Milestones" displayName="Milestones" ref="A13:D19" totalsRowShown="0" dataDxfId="25">
  <autoFilter ref="A13:D19" xr:uid="{883165DC-9152-499B-A0EC-D31DC4E95DE9}"/>
  <tableColumns count="4">
    <tableColumn id="1" xr3:uid="{6F4A9D5A-7221-4493-BE04-FFF9E63562ED}" name="Milestones" dataDxfId="24"/>
    <tableColumn id="2" xr3:uid="{AC41FFD7-45C5-4CA4-A268-8BDBCCCA741C}" name="Description" dataDxfId="23"/>
    <tableColumn id="3" xr3:uid="{BE6755CF-5B2C-47D5-9DEF-4E6B36B5C943}" name="Target Date" dataDxfId="22"/>
    <tableColumn id="5" xr3:uid="{1678EE4B-63F4-43AD-8153-D0F90CD18C31}" name="Completed" dataDxfId="21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895EA2-A9A0-4177-8702-30A20898AC2E}" name="Work_Planning" displayName="Work_Planning" ref="A1:E16" totalsRowShown="0">
  <autoFilter ref="A1:E16" xr:uid="{74895EA2-A9A0-4177-8702-30A20898AC2E}"/>
  <tableColumns count="5">
    <tableColumn id="1" xr3:uid="{A19CA1B3-7202-45DE-9BCA-82DB4DF4D528}" name="Code"/>
    <tableColumn id="2" xr3:uid="{536EC319-53A6-462C-B1C8-396943F9DDBF}" name="Task"/>
    <tableColumn id="3" xr3:uid="{9693AD7F-E758-4B04-86BB-51C458133E59}" name="Description"/>
    <tableColumn id="4" xr3:uid="{968D576D-A381-4630-967D-2024AC163D31}" name="Owner"/>
    <tableColumn id="5" xr3:uid="{76F9D988-9F8D-4AF1-9C8D-FCA9CA26B583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7DC2E5-E867-42D1-980F-38154DAB112C}" name="Risk_Register" displayName="Risk_Register" ref="A1:I5" totalsRowShown="0" headerRowDxfId="20" dataDxfId="19">
  <autoFilter ref="A1:I5" xr:uid="{B67DC2E5-E867-42D1-980F-38154DAB112C}"/>
  <tableColumns count="9">
    <tableColumn id="1" xr3:uid="{FBFE3D93-47C0-4713-AF7F-E6D979D2CE8E}" name="Risk ID" dataDxfId="18"/>
    <tableColumn id="2" xr3:uid="{6547FB80-CA4F-4B84-9A43-3FE8FA8D65F8}" name="Category" dataDxfId="17"/>
    <tableColumn id="3" xr3:uid="{6340D62E-C2FF-408C-A28C-710E47802272}" name="Description" dataDxfId="16"/>
    <tableColumn id="4" xr3:uid="{EC6B7AC5-1A71-4A8C-9A4D-DEE9C5D3A304}" name="Probability" dataDxfId="15"/>
    <tableColumn id="5" xr3:uid="{CBD5BE23-5194-4C15-AE88-B19AFBB97269}" name="Impact" dataDxfId="14"/>
    <tableColumn id="6" xr3:uid="{91314524-D6DD-41CB-8649-AEF5041DABED}" name="Owner" dataDxfId="13"/>
    <tableColumn id="7" xr3:uid="{195E7958-59AD-4ADE-BFCE-5423DB4027D0}" name="Mitigation Plan" dataDxfId="12"/>
    <tableColumn id="8" xr3:uid="{6B579EFC-CEB6-4991-8EE7-C0A1A25EC7CD}" name="Risk Score" dataDxfId="11">
      <calculatedColumnFormula>IF(D2="Low",1,IF(D2="Medium",2,IF(D2="High",3,0)))*IF(E2="Low",1,IF(E2="Medium",2,IF(E2="High",3,0)))</calculatedColumnFormula>
    </tableColumn>
    <tableColumn id="9" xr3:uid="{7347CFC9-26D2-446F-9711-9670975889C8}" name="Priority" dataDxfId="10">
      <calculatedColumnFormula>IF(H2=9,"Critical",IF(H2&gt;=6,"High",IF(H2&gt;=3,"Medium","Low")))</calculatedColumnFormula>
    </tableColumn>
  </tableColumns>
  <tableStyleInfo name="TableStyleLight1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7DF466-3EFE-4D2D-93E6-6E2076058803}" name="Progress" displayName="Progress" ref="A2:B5" totalsRowShown="0">
  <autoFilter ref="A2:B5" xr:uid="{D87DF466-3EFE-4D2D-93E6-6E2076058803}"/>
  <tableColumns count="2">
    <tableColumn id="1" xr3:uid="{DF4F61CD-DFCC-4B70-891A-0D87986FB8E0}" name="Milestone Status"/>
    <tableColumn id="2" xr3:uid="{EB58AA58-EDEC-4533-8908-8EA2872AC802}" name="Count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99EA329-5AF0-4F6D-AE32-7A5FDEB198DD}" name="RiskPriority" displayName="RiskPriority" ref="A8:B12" totalsRowShown="0">
  <autoFilter ref="A8:B12" xr:uid="{699EA329-5AF0-4F6D-AE32-7A5FDEB198DD}"/>
  <tableColumns count="2">
    <tableColumn id="1" xr3:uid="{5139DAF9-8150-46F0-91D0-CE6EDA7E979C}" name="Priority"/>
    <tableColumn id="2" xr3:uid="{5DE552F8-B8A7-44EC-A55D-F6DE1D179222}" name="Count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38E8CCE-4DAF-4445-AB6E-BD0760B841C8}" name="Gannt" displayName="Gannt" ref="A15:H20" totalsRowShown="0">
  <autoFilter ref="A15:H20" xr:uid="{338E8CCE-4DAF-4445-AB6E-BD0760B841C8}"/>
  <tableColumns count="8">
    <tableColumn id="1" xr3:uid="{26270AF6-2B4F-4911-BBC8-7068CF2DCFE9}" name="Phase Nº">
      <calculatedColumnFormula>Timeline!A2</calculatedColumnFormula>
    </tableColumn>
    <tableColumn id="2" xr3:uid="{3532398D-3E47-4FDB-9617-542D3561D6FB}" name="Phase Name">
      <calculatedColumnFormula>Timeline!B2</calculatedColumnFormula>
    </tableColumn>
    <tableColumn id="3" xr3:uid="{2E12150F-43F7-4C06-8A72-950B7234874A}" name="Duration">
      <calculatedColumnFormula>VALUE(LEFT(Timeline!F2, FIND(" ", Timeline!F2)-1))</calculatedColumnFormula>
    </tableColumn>
    <tableColumn id="4" xr3:uid="{B45D44E8-5360-4B6B-99DD-AFDA1A0A0490}" name="Start Day">
      <calculatedColumnFormula>D15+C15</calculatedColumnFormula>
    </tableColumn>
    <tableColumn id="5" xr3:uid="{90F1C387-3D9C-442D-8A03-D6DD2FE020A2}" name="Completed">
      <calculatedColumnFormula>Timeline!G2</calculatedColumnFormula>
    </tableColumn>
    <tableColumn id="6" xr3:uid="{B8BCA258-995D-4205-A8D9-847B325017FB}" name="Done" dataDxfId="9">
      <calculatedColumnFormula>IF(E16,C16,0)</calculatedColumnFormula>
    </tableColumn>
    <tableColumn id="7" xr3:uid="{4F5F4205-1853-4F2A-A012-BC7B1E289C39}" name="In Progress" dataDxfId="8">
      <calculatedColumnFormula>IF(AND(NOT(E16),COUNTIF(E$16:E16,FALSE)=1),C16,0)</calculatedColumnFormula>
    </tableColumn>
    <tableColumn id="8" xr3:uid="{13B87A14-CB92-4917-89D5-FDAE1AA0A861}" name="Pending" dataDxfId="7">
      <calculatedColumnFormula>C16-F16-G16</calculatedColumn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A398DC3-961E-4DD7-B60B-17576BC5018D}" name="TasksProgress" displayName="TasksProgress" ref="A25:B29" totalsRowShown="0">
  <autoFilter ref="A25:B29" xr:uid="{FA398DC3-961E-4DD7-B60B-17576BC5018D}"/>
  <tableColumns count="2">
    <tableColumn id="1" xr3:uid="{8C19D8E0-181B-41DE-91D5-FC5E8D954343}" name="Tasks Metrics"/>
    <tableColumn id="2" xr3:uid="{118A297D-887E-458B-A861-834D4C87D2AF}" name="Valu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EFA9-76FB-4B6B-9797-B2D9E68FABF0}">
  <sheetPr>
    <pageSetUpPr autoPageBreaks="0"/>
  </sheetPr>
  <dimension ref="A1:F33"/>
  <sheetViews>
    <sheetView showGridLines="0" tabSelected="1" zoomScale="70" zoomScaleNormal="70" workbookViewId="0">
      <selection activeCell="N25" sqref="N25"/>
    </sheetView>
  </sheetViews>
  <sheetFormatPr baseColWidth="10" defaultRowHeight="14.5" x14ac:dyDescent="0.35"/>
  <cols>
    <col min="1" max="1" width="26.1796875" customWidth="1"/>
    <col min="2" max="2" width="30.36328125" customWidth="1"/>
    <col min="3" max="3" width="19" customWidth="1"/>
    <col min="4" max="4" width="30.26953125" customWidth="1"/>
    <col min="5" max="5" width="17.08984375" customWidth="1"/>
    <col min="6" max="6" width="31.6328125" customWidth="1"/>
  </cols>
  <sheetData>
    <row r="1" spans="1:6" ht="26" customHeight="1" x14ac:dyDescent="0.6">
      <c r="A1" s="12" t="s">
        <v>138</v>
      </c>
      <c r="B1" s="10"/>
      <c r="C1" s="10"/>
      <c r="D1" s="10"/>
      <c r="E1" s="10"/>
      <c r="F1" s="10"/>
    </row>
    <row r="2" spans="1:6" ht="26" customHeight="1" x14ac:dyDescent="0.4">
      <c r="A2" s="13" t="s">
        <v>139</v>
      </c>
      <c r="B2" s="10"/>
      <c r="C2" s="10"/>
      <c r="D2" s="10"/>
      <c r="E2" s="10"/>
      <c r="F2" s="10"/>
    </row>
    <row r="3" spans="1:6" ht="26" customHeight="1" x14ac:dyDescent="0.35">
      <c r="A3" s="14" t="s">
        <v>140</v>
      </c>
      <c r="B3" s="11">
        <v>46318</v>
      </c>
      <c r="C3" s="10"/>
      <c r="D3" s="10"/>
      <c r="E3" s="10"/>
      <c r="F3" s="10"/>
    </row>
    <row r="4" spans="1:6" ht="15" thickBot="1" x14ac:dyDescent="0.4"/>
    <row r="5" spans="1:6" x14ac:dyDescent="0.35">
      <c r="A5" s="24" t="s">
        <v>144</v>
      </c>
      <c r="B5" s="25"/>
      <c r="C5" s="24" t="s">
        <v>142</v>
      </c>
      <c r="D5" s="25"/>
      <c r="E5" s="24" t="s">
        <v>143</v>
      </c>
      <c r="F5" s="25"/>
    </row>
    <row r="6" spans="1:6" s="15" customFormat="1" ht="24" thickBot="1" x14ac:dyDescent="0.6">
      <c r="A6" s="27" t="str">
        <f>_xlfn.XLOOKUP(FALSE, Timeline!D14:D19, Timeline!A14:A19, "All Completed")</f>
        <v>MVP Backlog</v>
      </c>
      <c r="B6" s="28"/>
      <c r="C6" s="29">
        <f>IFERROR(COUNTIF(Timeline!D14:'Timeline'!D19,TRUE)/COUNTA(Timeline!D14:D19),0)</f>
        <v>0.33333333333333331</v>
      </c>
      <c r="D6" s="30"/>
      <c r="E6" s="27">
        <f>COUNTIF('Risk Register'!I2:I5,"Critical")</f>
        <v>1</v>
      </c>
      <c r="F6" s="28"/>
    </row>
    <row r="17" spans="1:4" ht="21.5" customHeight="1" x14ac:dyDescent="0.35"/>
    <row r="20" spans="1:4" ht="19" thickBot="1" x14ac:dyDescent="0.5">
      <c r="A20" s="26" t="s">
        <v>141</v>
      </c>
      <c r="B20" s="26"/>
      <c r="C20" s="26"/>
      <c r="D20" s="26"/>
    </row>
    <row r="21" spans="1:4" x14ac:dyDescent="0.35">
      <c r="A21" s="16" t="s">
        <v>145</v>
      </c>
      <c r="B21" s="17" t="str">
        <f>_xlfn.XLOOKUP(FALSE, Timeline!G2:G6, Timeline!A2:A6, "Proyecto Finalizado")</f>
        <v>Phase 2</v>
      </c>
      <c r="C21" s="16" t="s">
        <v>147</v>
      </c>
      <c r="D21" s="17" t="str" cm="1">
        <f t="array" ref="D21">INDEX(Timeline!A2:A6, MATCH(FALSE, Timeline!G2:G6, 0) + 1)</f>
        <v>Phase 3</v>
      </c>
    </row>
    <row r="22" spans="1:4" ht="29" customHeight="1" x14ac:dyDescent="0.35">
      <c r="A22" s="18" t="s">
        <v>146</v>
      </c>
      <c r="B22" s="19" t="str">
        <f>_xlfn.XLOOKUP(FALSE, Timeline!G2:G6, Timeline!B2:B6, "Proyecto Finalizado")</f>
        <v>Product Discovery and Backlog</v>
      </c>
      <c r="C22" s="18" t="s">
        <v>148</v>
      </c>
      <c r="D22" s="19" t="str" cm="1">
        <f t="array" ref="D22">INDEX(Timeline!B2:B6, MATCH(FALSE, Timeline!G2:G6, 0) + 1)</f>
        <v>CRM Configuration</v>
      </c>
    </row>
    <row r="23" spans="1:4" ht="29" x14ac:dyDescent="0.35">
      <c r="A23" s="18" t="s">
        <v>18</v>
      </c>
      <c r="B23" s="19" t="str">
        <f>_xlfn.XLOOKUP(FALSE, Timeline!G2:G6, Timeline!C2:C6, "N/A")</f>
        <v>Translate business needs into an actinoable backlog</v>
      </c>
      <c r="C23" s="18" t="s">
        <v>18</v>
      </c>
      <c r="D23" s="19" t="str" cm="1">
        <f t="array" ref="D23">INDEX(Timeline!C2:C6, MATCH(FALSE, Timeline!G2:G6, 0) + 1)</f>
        <v>Build the CRM Solution</v>
      </c>
    </row>
    <row r="24" spans="1:4" ht="29" x14ac:dyDescent="0.35">
      <c r="A24" s="18" t="s">
        <v>16</v>
      </c>
      <c r="B24" s="19" t="str">
        <f>_xlfn.XLOOKUP(FALSE, Timeline!G2:G6, Timeline!D2:D6, "N/A")</f>
        <v>User Stories
MVP definition</v>
      </c>
      <c r="C24" s="18" t="s">
        <v>16</v>
      </c>
      <c r="D24" s="19" t="str" cm="1">
        <f t="array" ref="D24">INDEX(Timeline!D2:D6, MATCH(FALSE, Timeline!G2:G6, 0) + 1)</f>
        <v>Salesforce Configuration</v>
      </c>
    </row>
    <row r="25" spans="1:4" ht="29" x14ac:dyDescent="0.35">
      <c r="A25" s="18" t="s">
        <v>10</v>
      </c>
      <c r="B25" s="19" t="str">
        <f>_xlfn.XLOOKUP(FALSE, Timeline!G2:G6, Timeline!E2:E6, "N/A")</f>
        <v>Jira Backlog
MVP</v>
      </c>
      <c r="C25" s="18" t="s">
        <v>10</v>
      </c>
      <c r="D25" s="19" t="str" cm="1">
        <f t="array" ref="D25">INDEX(Timeline!E2:E6, MATCH(FALSE, Timeline!G2:G6, 0) + 1)</f>
        <v>Salesforce CRM prototype</v>
      </c>
    </row>
    <row r="26" spans="1:4" x14ac:dyDescent="0.35">
      <c r="A26" s="18" t="s">
        <v>2</v>
      </c>
      <c r="B26" s="19" t="str">
        <f>_xlfn.XLOOKUP(FALSE, Timeline!G2:G6, Timeline!F2:F6, "N/A")</f>
        <v>2 days</v>
      </c>
      <c r="C26" s="18" t="s">
        <v>2</v>
      </c>
      <c r="D26" s="19" t="str" cm="1">
        <f t="array" ref="D26">INDEX(Timeline!F2:F6, MATCH(FALSE, Timeline!G2:G6, 0) + 1)</f>
        <v>3 days</v>
      </c>
    </row>
    <row r="28" spans="1:4" ht="19" thickBot="1" x14ac:dyDescent="0.5">
      <c r="A28" s="26" t="s">
        <v>149</v>
      </c>
      <c r="B28" s="26"/>
      <c r="C28" s="26"/>
      <c r="D28" s="26"/>
    </row>
    <row r="30" spans="1:4" x14ac:dyDescent="0.35">
      <c r="B30" s="20" t="s">
        <v>60</v>
      </c>
      <c r="C30" s="20" t="s">
        <v>37</v>
      </c>
      <c r="D30" s="22"/>
    </row>
    <row r="31" spans="1:4" x14ac:dyDescent="0.35">
      <c r="A31" s="20" t="s">
        <v>150</v>
      </c>
      <c r="B31" s="21" t="str" cm="1">
        <f t="array" ref="B31">_xlfn.XLOOKUP(FALSE, _xlfn._xlws.FILTER('Work Planing'!E2:E15, RIGHT('Work Planing'!A2:A15, 2) &lt;&gt; ".0"), _xlfn._xlws.FILTER('Work Planing'!B2:B15, RIGHT('Work Planing'!A2:A15, 2) &lt;&gt; ".0"), "Todas completadas")</f>
        <v>User Stories</v>
      </c>
      <c r="C31" s="32" t="str" cm="1">
        <f t="array" ref="C31">_xlfn.XLOOKUP(FALSE, _xlfn._xlws.FILTER('Work Planing'!E2:E15, RIGHT('Work Planing'!A2:A15, 2) &lt;&gt; ".0"), _xlfn._xlws.FILTER('Work Planing'!C2:C15, RIGHT('Work Planing'!A2:A15, 2) &lt;&gt; ".0"), "Todas completadas")</f>
        <v>Write user stories and acceptance criteria</v>
      </c>
      <c r="D31" s="32"/>
    </row>
    <row r="32" spans="1:4" x14ac:dyDescent="0.35">
      <c r="A32" s="18" t="s">
        <v>151</v>
      </c>
      <c r="B32" s="23" t="str" cm="1">
        <f t="array" ref="B32">INDEX(_xlfn._xlws.FILTER('Work Planing'!B2:B15, RIGHT('Work Planing'!A2:A15, 2) &lt;&gt; ".0"), MATCH(FALSE, _xlfn._xlws.FILTER('Work Planing'!E2:E15, RIGHT('Work Planing'!A2:A15, 2) &lt;&gt; ".0"), 0) + 1)</f>
        <v>MVP Priorization</v>
      </c>
      <c r="C32" s="32" t="str" cm="1">
        <f t="array" ref="C32">INDEX(_xlfn._xlws.FILTER('Work Planing'!C2:C15, RIGHT('Work Planing'!A2:A15, 2) &lt;&gt; ".0"), MATCH(FALSE, _xlfn._xlws.FILTER('Work Planing'!E2:E15, RIGHT('Work Planing'!A2:A15, 2) &lt;&gt; ".0"), 0) + 1)</f>
        <v>Priorize the backlog and define the MVP scope</v>
      </c>
      <c r="D32" s="32"/>
    </row>
    <row r="33" spans="1:4" x14ac:dyDescent="0.35">
      <c r="A33" s="18" t="s">
        <v>152</v>
      </c>
      <c r="B33" s="23" t="str" cm="1">
        <f t="array" ref="B33">INDEX(_xlfn._xlws.FILTER('Work Planing'!B2:B15, RIGHT('Work Planing'!A2:A15, 2) &lt;&gt; ".0"), MATCH(FALSE, _xlfn._xlws.FILTER('Work Planing'!E2:E15, RIGHT('Work Planing'!A2:A15, 2) &lt;&gt; ".0"), 0) + 2)</f>
        <v>Data Model Setup</v>
      </c>
      <c r="C33" s="31" t="str" cm="1">
        <f t="array" ref="C33">INDEX(_xlfn._xlws.FILTER('Work Planing'!C2:C15, RIGHT('Work Planing'!A2:A15, 2) &lt;&gt; ".0"), MATCH(FALSE, _xlfn._xlws.FILTER('Work Planing'!E2:E15, RIGHT('Work Planing'!A2:A15, 2) &lt;&gt; ".0"), 0) + 2)</f>
        <v>Configure Salesforce objects (accounts, opportunities…)</v>
      </c>
      <c r="D33" s="31"/>
    </row>
  </sheetData>
  <mergeCells count="11">
    <mergeCell ref="A28:D28"/>
    <mergeCell ref="C33:D33"/>
    <mergeCell ref="C32:D32"/>
    <mergeCell ref="C31:D31"/>
    <mergeCell ref="E6:F6"/>
    <mergeCell ref="E5:F5"/>
    <mergeCell ref="A20:D20"/>
    <mergeCell ref="A6:B6"/>
    <mergeCell ref="A5:B5"/>
    <mergeCell ref="C5:D5"/>
    <mergeCell ref="C6:D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10CFC-DA69-4EE3-8F4D-E663F40BF13B}">
  <dimension ref="A1:G19"/>
  <sheetViews>
    <sheetView workbookViewId="0">
      <selection activeCell="D15" sqref="D15"/>
    </sheetView>
  </sheetViews>
  <sheetFormatPr baseColWidth="10" defaultColWidth="17.08984375" defaultRowHeight="14.5" x14ac:dyDescent="0.35"/>
  <cols>
    <col min="1" max="1" width="24.36328125" customWidth="1"/>
    <col min="2" max="2" width="29.54296875" customWidth="1"/>
    <col min="3" max="3" width="26.36328125" customWidth="1"/>
    <col min="4" max="4" width="21.453125" customWidth="1"/>
    <col min="5" max="5" width="26.08984375" customWidth="1"/>
  </cols>
  <sheetData>
    <row r="1" spans="1:7" x14ac:dyDescent="0.35">
      <c r="A1" t="s">
        <v>0</v>
      </c>
      <c r="B1" t="s">
        <v>1</v>
      </c>
      <c r="C1" t="s">
        <v>18</v>
      </c>
      <c r="D1" t="s">
        <v>16</v>
      </c>
      <c r="E1" t="s">
        <v>10</v>
      </c>
      <c r="F1" t="s">
        <v>2</v>
      </c>
      <c r="G1" t="s">
        <v>53</v>
      </c>
    </row>
    <row r="2" spans="1:7" ht="58" x14ac:dyDescent="0.35">
      <c r="A2" s="4" t="s">
        <v>4</v>
      </c>
      <c r="B2" s="4" t="s">
        <v>9</v>
      </c>
      <c r="C2" s="2" t="s">
        <v>19</v>
      </c>
      <c r="D2" s="5" t="s">
        <v>17</v>
      </c>
      <c r="E2" s="5" t="s">
        <v>14</v>
      </c>
      <c r="F2" s="5" t="s">
        <v>11</v>
      </c>
      <c r="G2" s="7" t="b">
        <f>AND(D14:D15)</f>
        <v>1</v>
      </c>
    </row>
    <row r="3" spans="1:7" ht="29" x14ac:dyDescent="0.35">
      <c r="A3" s="4" t="s">
        <v>5</v>
      </c>
      <c r="B3" s="4" t="s">
        <v>15</v>
      </c>
      <c r="C3" s="5" t="s">
        <v>20</v>
      </c>
      <c r="D3" s="5" t="s">
        <v>21</v>
      </c>
      <c r="E3" s="5" t="s">
        <v>22</v>
      </c>
      <c r="F3" s="4" t="s">
        <v>11</v>
      </c>
      <c r="G3" s="7" t="b">
        <f>AND(D16)</f>
        <v>0</v>
      </c>
    </row>
    <row r="4" spans="1:7" x14ac:dyDescent="0.35">
      <c r="A4" s="4" t="s">
        <v>6</v>
      </c>
      <c r="B4" s="4" t="s">
        <v>23</v>
      </c>
      <c r="C4" s="4" t="s">
        <v>25</v>
      </c>
      <c r="D4" s="4" t="s">
        <v>54</v>
      </c>
      <c r="E4" s="4" t="s">
        <v>24</v>
      </c>
      <c r="F4" s="4" t="s">
        <v>26</v>
      </c>
      <c r="G4" s="7" t="b">
        <f>AND(D17)</f>
        <v>0</v>
      </c>
    </row>
    <row r="5" spans="1:7" ht="29" x14ac:dyDescent="0.35">
      <c r="A5" s="4" t="s">
        <v>7</v>
      </c>
      <c r="B5" s="4" t="s">
        <v>27</v>
      </c>
      <c r="C5" s="2" t="s">
        <v>28</v>
      </c>
      <c r="D5" s="5" t="s">
        <v>29</v>
      </c>
      <c r="E5" s="5" t="s">
        <v>30</v>
      </c>
      <c r="F5" s="4" t="s">
        <v>57</v>
      </c>
      <c r="G5" s="7" t="b">
        <f>AND(D18)</f>
        <v>0</v>
      </c>
    </row>
    <row r="6" spans="1:7" ht="43.5" x14ac:dyDescent="0.35">
      <c r="A6" s="4" t="s">
        <v>8</v>
      </c>
      <c r="B6" s="4" t="s">
        <v>32</v>
      </c>
      <c r="C6" s="3" t="s">
        <v>33</v>
      </c>
      <c r="D6" s="5" t="s">
        <v>34</v>
      </c>
      <c r="E6" s="5" t="s">
        <v>35</v>
      </c>
      <c r="F6" s="4" t="s">
        <v>31</v>
      </c>
      <c r="G6" s="7" t="b">
        <f>AND(D19)</f>
        <v>0</v>
      </c>
    </row>
    <row r="13" spans="1:7" x14ac:dyDescent="0.35">
      <c r="A13" t="s">
        <v>36</v>
      </c>
      <c r="B13" t="s">
        <v>37</v>
      </c>
      <c r="C13" t="s">
        <v>38</v>
      </c>
      <c r="D13" t="s">
        <v>53</v>
      </c>
    </row>
    <row r="14" spans="1:7" ht="29" x14ac:dyDescent="0.35">
      <c r="A14" s="4" t="s">
        <v>40</v>
      </c>
      <c r="B14" s="5" t="s">
        <v>45</v>
      </c>
      <c r="C14" s="4" t="s">
        <v>12</v>
      </c>
      <c r="D14" s="7" t="b">
        <v>1</v>
      </c>
      <c r="E14" t="s">
        <v>3</v>
      </c>
      <c r="F14" s="6">
        <f>COUNTIF(Milestones[Completed], TRUE) / ROWS(Milestones[Completed])</f>
        <v>0.33333333333333331</v>
      </c>
    </row>
    <row r="15" spans="1:7" ht="29" x14ac:dyDescent="0.35">
      <c r="A15" s="4" t="s">
        <v>41</v>
      </c>
      <c r="B15" s="5" t="s">
        <v>46</v>
      </c>
      <c r="C15" s="4" t="s">
        <v>55</v>
      </c>
      <c r="D15" s="7" t="b">
        <v>1</v>
      </c>
    </row>
    <row r="16" spans="1:7" x14ac:dyDescent="0.35">
      <c r="A16" s="4" t="s">
        <v>42</v>
      </c>
      <c r="B16" s="5" t="s">
        <v>47</v>
      </c>
      <c r="C16" s="4" t="s">
        <v>56</v>
      </c>
      <c r="D16" s="7" t="b">
        <v>0</v>
      </c>
    </row>
    <row r="17" spans="1:4" x14ac:dyDescent="0.35">
      <c r="A17" s="4" t="s">
        <v>43</v>
      </c>
      <c r="B17" s="5" t="s">
        <v>48</v>
      </c>
      <c r="C17" s="4" t="s">
        <v>58</v>
      </c>
      <c r="D17" s="7" t="b">
        <v>0</v>
      </c>
    </row>
    <row r="18" spans="1:4" x14ac:dyDescent="0.35">
      <c r="A18" s="4" t="s">
        <v>44</v>
      </c>
      <c r="B18" s="5" t="s">
        <v>49</v>
      </c>
      <c r="C18" s="4" t="s">
        <v>52</v>
      </c>
      <c r="D18" s="7" t="b">
        <v>0</v>
      </c>
    </row>
    <row r="19" spans="1:4" x14ac:dyDescent="0.35">
      <c r="A19" s="4" t="s">
        <v>32</v>
      </c>
      <c r="B19" s="5" t="s">
        <v>50</v>
      </c>
      <c r="C19" s="4" t="s">
        <v>51</v>
      </c>
      <c r="D19" s="7" t="b">
        <v>0</v>
      </c>
    </row>
  </sheetData>
  <phoneticPr fontId="3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7AD7A-847B-4CE0-B86F-5E286AC7C2F0}">
  <dimension ref="A1:E16"/>
  <sheetViews>
    <sheetView workbookViewId="0">
      <selection activeCell="E7" sqref="E7"/>
    </sheetView>
  </sheetViews>
  <sheetFormatPr baseColWidth="10" defaultRowHeight="14.5" x14ac:dyDescent="0.35"/>
  <cols>
    <col min="2" max="2" width="30.26953125" bestFit="1" customWidth="1"/>
    <col min="3" max="3" width="61.90625" bestFit="1" customWidth="1"/>
    <col min="4" max="4" width="23.7265625" bestFit="1" customWidth="1"/>
  </cols>
  <sheetData>
    <row r="1" spans="1:5" x14ac:dyDescent="0.35">
      <c r="A1" t="s">
        <v>59</v>
      </c>
      <c r="B1" t="s">
        <v>60</v>
      </c>
      <c r="C1" t="s">
        <v>37</v>
      </c>
      <c r="D1" t="s">
        <v>61</v>
      </c>
      <c r="E1" t="s">
        <v>39</v>
      </c>
    </row>
    <row r="2" spans="1:5" x14ac:dyDescent="0.35">
      <c r="A2" s="9" t="s">
        <v>62</v>
      </c>
      <c r="B2" s="9" t="s">
        <v>77</v>
      </c>
      <c r="C2" t="s">
        <v>78</v>
      </c>
      <c r="D2" s="4" t="s">
        <v>79</v>
      </c>
      <c r="E2" s="8" t="b">
        <f>AND(E3,E4,E5)</f>
        <v>1</v>
      </c>
    </row>
    <row r="3" spans="1:5" x14ac:dyDescent="0.35">
      <c r="A3" t="s">
        <v>63</v>
      </c>
      <c r="B3" t="s">
        <v>13</v>
      </c>
      <c r="C3" t="s">
        <v>80</v>
      </c>
      <c r="D3" s="4" t="s">
        <v>79</v>
      </c>
      <c r="E3" s="8" t="b">
        <v>1</v>
      </c>
    </row>
    <row r="4" spans="1:5" x14ac:dyDescent="0.35">
      <c r="A4" t="s">
        <v>64</v>
      </c>
      <c r="B4" t="s">
        <v>81</v>
      </c>
      <c r="C4" t="s">
        <v>82</v>
      </c>
      <c r="D4" s="4" t="s">
        <v>79</v>
      </c>
      <c r="E4" s="8" t="b">
        <v>1</v>
      </c>
    </row>
    <row r="5" spans="1:5" x14ac:dyDescent="0.35">
      <c r="A5" t="s">
        <v>65</v>
      </c>
      <c r="B5" t="s">
        <v>83</v>
      </c>
      <c r="C5" t="s">
        <v>109</v>
      </c>
      <c r="D5" s="4" t="s">
        <v>79</v>
      </c>
      <c r="E5" s="8" t="b">
        <v>1</v>
      </c>
    </row>
    <row r="6" spans="1:5" x14ac:dyDescent="0.35">
      <c r="A6" s="9" t="s">
        <v>66</v>
      </c>
      <c r="B6" s="9" t="s">
        <v>84</v>
      </c>
      <c r="C6" t="s">
        <v>85</v>
      </c>
      <c r="D6" s="4" t="s">
        <v>86</v>
      </c>
      <c r="E6" s="8" t="b">
        <f>AND(E7:E9)</f>
        <v>0</v>
      </c>
    </row>
    <row r="7" spans="1:5" x14ac:dyDescent="0.35">
      <c r="A7" t="s">
        <v>67</v>
      </c>
      <c r="B7" t="s">
        <v>87</v>
      </c>
      <c r="C7" t="s">
        <v>88</v>
      </c>
      <c r="D7" s="4" t="s">
        <v>86</v>
      </c>
      <c r="E7" s="8" t="b">
        <v>1</v>
      </c>
    </row>
    <row r="8" spans="1:5" x14ac:dyDescent="0.35">
      <c r="A8" t="s">
        <v>68</v>
      </c>
      <c r="B8" t="s">
        <v>89</v>
      </c>
      <c r="C8" t="s">
        <v>90</v>
      </c>
      <c r="D8" s="4" t="s">
        <v>86</v>
      </c>
      <c r="E8" s="8" t="b">
        <v>0</v>
      </c>
    </row>
    <row r="9" spans="1:5" x14ac:dyDescent="0.35">
      <c r="A9" t="s">
        <v>69</v>
      </c>
      <c r="B9" t="s">
        <v>91</v>
      </c>
      <c r="C9" t="s">
        <v>92</v>
      </c>
      <c r="D9" s="4" t="s">
        <v>86</v>
      </c>
      <c r="E9" s="8" t="b">
        <v>0</v>
      </c>
    </row>
    <row r="10" spans="1:5" x14ac:dyDescent="0.35">
      <c r="A10" s="9" t="s">
        <v>70</v>
      </c>
      <c r="B10" s="9" t="s">
        <v>108</v>
      </c>
      <c r="C10" t="s">
        <v>93</v>
      </c>
      <c r="D10" t="s">
        <v>94</v>
      </c>
      <c r="E10" s="8" t="b">
        <f>AND(E11:E13)</f>
        <v>0</v>
      </c>
    </row>
    <row r="11" spans="1:5" x14ac:dyDescent="0.35">
      <c r="A11" t="s">
        <v>71</v>
      </c>
      <c r="B11" t="s">
        <v>95</v>
      </c>
      <c r="C11" t="s">
        <v>98</v>
      </c>
      <c r="D11" t="s">
        <v>94</v>
      </c>
      <c r="E11" s="8" t="b">
        <v>0</v>
      </c>
    </row>
    <row r="12" spans="1:5" x14ac:dyDescent="0.35">
      <c r="A12" t="s">
        <v>72</v>
      </c>
      <c r="B12" t="s">
        <v>96</v>
      </c>
      <c r="C12" t="s">
        <v>110</v>
      </c>
      <c r="D12" t="s">
        <v>99</v>
      </c>
      <c r="E12" s="8" t="b">
        <v>0</v>
      </c>
    </row>
    <row r="13" spans="1:5" x14ac:dyDescent="0.35">
      <c r="A13" t="s">
        <v>73</v>
      </c>
      <c r="B13" t="s">
        <v>97</v>
      </c>
      <c r="C13" t="s">
        <v>100</v>
      </c>
      <c r="D13" t="s">
        <v>94</v>
      </c>
      <c r="E13" s="8" t="b">
        <v>0</v>
      </c>
    </row>
    <row r="14" spans="1:5" x14ac:dyDescent="0.35">
      <c r="A14" s="9" t="s">
        <v>74</v>
      </c>
      <c r="B14" s="9" t="s">
        <v>101</v>
      </c>
      <c r="C14" t="s">
        <v>27</v>
      </c>
      <c r="D14" t="s">
        <v>105</v>
      </c>
      <c r="E14" s="8" t="b">
        <f>AND(E15:E16)</f>
        <v>0</v>
      </c>
    </row>
    <row r="15" spans="1:5" x14ac:dyDescent="0.35">
      <c r="A15" t="s">
        <v>75</v>
      </c>
      <c r="B15" t="s">
        <v>103</v>
      </c>
      <c r="C15" t="s">
        <v>104</v>
      </c>
      <c r="D15" t="s">
        <v>107</v>
      </c>
      <c r="E15" s="8" t="b">
        <v>0</v>
      </c>
    </row>
    <row r="16" spans="1:5" x14ac:dyDescent="0.35">
      <c r="A16" t="s">
        <v>76</v>
      </c>
      <c r="B16" t="s">
        <v>102</v>
      </c>
      <c r="C16" t="s">
        <v>111</v>
      </c>
      <c r="D16" t="s">
        <v>106</v>
      </c>
      <c r="E16" s="8" t="b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AC499-E318-4292-8F71-7BCA68A84C15}">
  <dimension ref="A1:I5"/>
  <sheetViews>
    <sheetView workbookViewId="0">
      <selection activeCell="D6" sqref="D6"/>
    </sheetView>
  </sheetViews>
  <sheetFormatPr baseColWidth="10" defaultColWidth="24.453125" defaultRowHeight="14.5" x14ac:dyDescent="0.35"/>
  <cols>
    <col min="1" max="2" width="24.453125" style="1"/>
    <col min="3" max="3" width="38.08984375" style="1" customWidth="1"/>
    <col min="4" max="6" width="24.453125" style="1"/>
    <col min="7" max="7" width="31.7265625" style="1" customWidth="1"/>
    <col min="8" max="16384" width="24.453125" style="1"/>
  </cols>
  <sheetData>
    <row r="1" spans="1:9" x14ac:dyDescent="0.35">
      <c r="A1" s="1" t="s">
        <v>112</v>
      </c>
      <c r="B1" s="1" t="s">
        <v>113</v>
      </c>
      <c r="C1" s="1" t="s">
        <v>37</v>
      </c>
      <c r="D1" s="1" t="s">
        <v>114</v>
      </c>
      <c r="E1" s="1" t="s">
        <v>115</v>
      </c>
      <c r="F1" s="1" t="s">
        <v>61</v>
      </c>
      <c r="G1" s="1" t="s">
        <v>116</v>
      </c>
      <c r="H1" s="1" t="s">
        <v>136</v>
      </c>
      <c r="I1" s="1" t="s">
        <v>137</v>
      </c>
    </row>
    <row r="2" spans="1:9" ht="43.5" x14ac:dyDescent="0.35">
      <c r="A2" s="3" t="s">
        <v>117</v>
      </c>
      <c r="B2" s="3" t="s">
        <v>121</v>
      </c>
      <c r="C2" s="3" t="s">
        <v>125</v>
      </c>
      <c r="D2" s="3" t="s">
        <v>126</v>
      </c>
      <c r="E2" s="3" t="s">
        <v>126</v>
      </c>
      <c r="F2" s="3" t="s">
        <v>107</v>
      </c>
      <c r="G2" s="1" t="s">
        <v>127</v>
      </c>
      <c r="H2" s="1">
        <f t="shared" ref="H2:H5" si="0">IF(D2="Low",1,IF(D2="Medium",2,IF(D2="High",3,0)))*IF(E2="Low",1,IF(E2="Medium",2,IF(E2="High",3,0)))</f>
        <v>9</v>
      </c>
      <c r="I2" s="3" t="str">
        <f t="shared" ref="I2:I5" si="1">IF(H2=9,"Critical",IF(H2&gt;=6,"High",IF(H2&gt;=3,"Medium","Low")))</f>
        <v>Critical</v>
      </c>
    </row>
    <row r="3" spans="1:9" ht="43.5" x14ac:dyDescent="0.35">
      <c r="A3" s="3" t="s">
        <v>118</v>
      </c>
      <c r="B3" s="3" t="s">
        <v>122</v>
      </c>
      <c r="C3" s="3" t="s">
        <v>128</v>
      </c>
      <c r="D3" s="3" t="s">
        <v>129</v>
      </c>
      <c r="E3" s="3" t="s">
        <v>126</v>
      </c>
      <c r="F3" s="3" t="s">
        <v>94</v>
      </c>
      <c r="G3" s="1" t="s">
        <v>130</v>
      </c>
      <c r="H3" s="1">
        <f t="shared" si="0"/>
        <v>6</v>
      </c>
      <c r="I3" s="3" t="str">
        <f t="shared" si="1"/>
        <v>High</v>
      </c>
    </row>
    <row r="4" spans="1:9" ht="67" customHeight="1" x14ac:dyDescent="0.35">
      <c r="A4" s="3" t="s">
        <v>119</v>
      </c>
      <c r="B4" s="3" t="s">
        <v>123</v>
      </c>
      <c r="C4" s="3" t="s">
        <v>131</v>
      </c>
      <c r="D4" s="3" t="s">
        <v>126</v>
      </c>
      <c r="E4" s="3" t="s">
        <v>132</v>
      </c>
      <c r="F4" s="3" t="s">
        <v>106</v>
      </c>
      <c r="G4" s="1" t="s">
        <v>133</v>
      </c>
      <c r="H4" s="1">
        <f t="shared" si="0"/>
        <v>3</v>
      </c>
      <c r="I4" s="3" t="str">
        <f t="shared" si="1"/>
        <v>Medium</v>
      </c>
    </row>
    <row r="5" spans="1:9" ht="43.5" x14ac:dyDescent="0.35">
      <c r="A5" s="3" t="s">
        <v>120</v>
      </c>
      <c r="B5" s="3" t="s">
        <v>124</v>
      </c>
      <c r="C5" s="3" t="s">
        <v>134</v>
      </c>
      <c r="D5" s="3" t="s">
        <v>129</v>
      </c>
      <c r="E5" s="3" t="s">
        <v>129</v>
      </c>
      <c r="F5" s="3" t="s">
        <v>94</v>
      </c>
      <c r="G5" s="1" t="s">
        <v>135</v>
      </c>
      <c r="H5" s="1">
        <f t="shared" si="0"/>
        <v>4</v>
      </c>
      <c r="I5" s="3" t="str">
        <f t="shared" si="1"/>
        <v>Medium</v>
      </c>
    </row>
  </sheetData>
  <conditionalFormatting sqref="D2:E5">
    <cfRule type="containsText" dxfId="6" priority="5" operator="containsText" text="Low">
      <formula>NOT(ISERROR(SEARCH("Low",D2)))</formula>
    </cfRule>
    <cfRule type="containsText" dxfId="5" priority="6" operator="containsText" text="Medium">
      <formula>NOT(ISERROR(SEARCH("Medium",D2)))</formula>
    </cfRule>
    <cfRule type="containsText" dxfId="4" priority="7" operator="containsText" text="High">
      <formula>NOT(ISERROR(SEARCH("High",D2)))</formula>
    </cfRule>
  </conditionalFormatting>
  <conditionalFormatting sqref="I2:I5">
    <cfRule type="containsText" dxfId="3" priority="1" operator="containsText" text="Low">
      <formula>NOT(ISERROR(SEARCH("Low",I2)))</formula>
    </cfRule>
    <cfRule type="containsText" dxfId="2" priority="2" operator="containsText" text="Medium">
      <formula>NOT(ISERROR(SEARCH("Medium",I2)))</formula>
    </cfRule>
    <cfRule type="containsText" dxfId="1" priority="3" operator="containsText" text="High">
      <formula>NOT(ISERROR(SEARCH("High",I2)))</formula>
    </cfRule>
    <cfRule type="containsText" dxfId="0" priority="4" operator="containsText" text="Critical">
      <formula>NOT(ISERROR(SEARCH("Critical",I2)))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AE435-DCF2-4346-8EF1-1468C66A11D7}">
  <dimension ref="A1:H29"/>
  <sheetViews>
    <sheetView workbookViewId="0">
      <selection activeCell="A15" activeCellId="2" sqref="D15:D20 F15:H20 A15:A20"/>
    </sheetView>
  </sheetViews>
  <sheetFormatPr baseColWidth="10" defaultRowHeight="14.5" x14ac:dyDescent="0.35"/>
  <cols>
    <col min="1" max="1" width="17.36328125" customWidth="1"/>
    <col min="2" max="2" width="27.08984375" bestFit="1" customWidth="1"/>
    <col min="5" max="5" width="12.54296875" customWidth="1"/>
    <col min="7" max="7" width="16" customWidth="1"/>
  </cols>
  <sheetData>
    <row r="1" spans="1:8" x14ac:dyDescent="0.35">
      <c r="A1" s="33" t="s">
        <v>157</v>
      </c>
      <c r="B1" s="33"/>
    </row>
    <row r="2" spans="1:8" x14ac:dyDescent="0.35">
      <c r="A2" t="s">
        <v>153</v>
      </c>
      <c r="B2" t="s">
        <v>154</v>
      </c>
    </row>
    <row r="3" spans="1:8" x14ac:dyDescent="0.35">
      <c r="A3" t="s">
        <v>53</v>
      </c>
      <c r="B3">
        <f>COUNTIF(Milestones[Completed], TRUE)</f>
        <v>2</v>
      </c>
    </row>
    <row r="4" spans="1:8" x14ac:dyDescent="0.35">
      <c r="A4" t="s">
        <v>155</v>
      </c>
      <c r="B4">
        <f>COUNTIF(Milestones[Completed], FALSE)</f>
        <v>4</v>
      </c>
    </row>
    <row r="5" spans="1:8" x14ac:dyDescent="0.35">
      <c r="A5" t="s">
        <v>156</v>
      </c>
      <c r="B5">
        <f>SUM(B3:B4)</f>
        <v>6</v>
      </c>
    </row>
    <row r="7" spans="1:8" x14ac:dyDescent="0.35">
      <c r="A7" s="33" t="s">
        <v>158</v>
      </c>
      <c r="B7" s="33"/>
    </row>
    <row r="8" spans="1:8" x14ac:dyDescent="0.35">
      <c r="A8" t="s">
        <v>137</v>
      </c>
      <c r="B8" t="s">
        <v>154</v>
      </c>
    </row>
    <row r="9" spans="1:8" x14ac:dyDescent="0.35">
      <c r="A9" t="s">
        <v>159</v>
      </c>
      <c r="B9">
        <f>COUNTIF(Risk_Register[Priority], "Critical")</f>
        <v>1</v>
      </c>
    </row>
    <row r="10" spans="1:8" x14ac:dyDescent="0.35">
      <c r="A10" t="s">
        <v>126</v>
      </c>
      <c r="B10">
        <f>COUNTIF(Risk_Register[Priority], "High")</f>
        <v>1</v>
      </c>
    </row>
    <row r="11" spans="1:8" x14ac:dyDescent="0.35">
      <c r="A11" t="s">
        <v>129</v>
      </c>
      <c r="B11">
        <f>COUNTIF(Risk_Register[Priority], "Medium")</f>
        <v>2</v>
      </c>
    </row>
    <row r="12" spans="1:8" x14ac:dyDescent="0.35">
      <c r="A12" t="s">
        <v>132</v>
      </c>
      <c r="B12">
        <f>COUNTIF(Risk_Register[Priority], "Low")</f>
        <v>0</v>
      </c>
    </row>
    <row r="14" spans="1:8" x14ac:dyDescent="0.35">
      <c r="A14" s="33" t="s">
        <v>160</v>
      </c>
      <c r="B14" s="33"/>
      <c r="C14" s="33"/>
      <c r="D14" s="33"/>
      <c r="E14" s="33"/>
    </row>
    <row r="15" spans="1:8" x14ac:dyDescent="0.35">
      <c r="A15" t="s">
        <v>161</v>
      </c>
      <c r="B15" t="s">
        <v>1</v>
      </c>
      <c r="C15" t="s">
        <v>2</v>
      </c>
      <c r="D15" t="s">
        <v>162</v>
      </c>
      <c r="E15" t="s">
        <v>53</v>
      </c>
      <c r="F15" t="s">
        <v>170</v>
      </c>
      <c r="G15" t="s">
        <v>171</v>
      </c>
      <c r="H15" t="s">
        <v>155</v>
      </c>
    </row>
    <row r="16" spans="1:8" x14ac:dyDescent="0.35">
      <c r="A16" t="str">
        <f>Timeline!A2</f>
        <v>Phase 1</v>
      </c>
      <c r="B16" t="str">
        <f>Timeline!B2</f>
        <v>Project Initiation and Planning</v>
      </c>
      <c r="C16">
        <f>VALUE(LEFT(Timeline!F2, FIND(" ", Timeline!F2)-1))</f>
        <v>2</v>
      </c>
      <c r="D16">
        <v>0</v>
      </c>
      <c r="E16" t="b">
        <f>Timeline!G2</f>
        <v>1</v>
      </c>
      <c r="F16">
        <f t="shared" ref="F16:F20" si="0">IF(E16,C16,0)</f>
        <v>2</v>
      </c>
      <c r="G16">
        <f>IF(AND(NOT(E16),COUNTIF(E$16:E16,FALSE)=1),C16,0)</f>
        <v>0</v>
      </c>
      <c r="H16">
        <f t="shared" ref="H16:H20" si="1">C16-F16-G16</f>
        <v>0</v>
      </c>
    </row>
    <row r="17" spans="1:8" x14ac:dyDescent="0.35">
      <c r="A17" t="str">
        <f>Timeline!A3</f>
        <v>Phase 2</v>
      </c>
      <c r="B17" t="str">
        <f>Timeline!B3</f>
        <v>Product Discovery and Backlog</v>
      </c>
      <c r="C17">
        <f>VALUE(LEFT(Timeline!F3, FIND(" ", Timeline!F3)-1))</f>
        <v>2</v>
      </c>
      <c r="D17">
        <f>D16+C16</f>
        <v>2</v>
      </c>
      <c r="E17" t="b">
        <f>Timeline!G3</f>
        <v>0</v>
      </c>
      <c r="F17">
        <f t="shared" si="0"/>
        <v>0</v>
      </c>
      <c r="G17">
        <f>IF(AND(NOT(E17),COUNTIF(E$16:E17,FALSE)=1),C17,0)</f>
        <v>2</v>
      </c>
      <c r="H17">
        <f t="shared" si="1"/>
        <v>0</v>
      </c>
    </row>
    <row r="18" spans="1:8" x14ac:dyDescent="0.35">
      <c r="A18" t="str">
        <f>Timeline!A4</f>
        <v>Phase 3</v>
      </c>
      <c r="B18" t="str">
        <f>Timeline!B4</f>
        <v>CRM Configuration</v>
      </c>
      <c r="C18">
        <f>VALUE(LEFT(Timeline!F4, FIND(" ", Timeline!F4)-1))</f>
        <v>3</v>
      </c>
      <c r="D18">
        <f t="shared" ref="D18:D20" si="2">D17+C17</f>
        <v>4</v>
      </c>
      <c r="E18" t="b">
        <f>Timeline!G4</f>
        <v>0</v>
      </c>
      <c r="F18">
        <f t="shared" si="0"/>
        <v>0</v>
      </c>
      <c r="G18">
        <f>IF(AND(NOT(E18),COUNTIF(E$16:E18,FALSE)=1),C18,0)</f>
        <v>0</v>
      </c>
      <c r="H18">
        <f t="shared" si="1"/>
        <v>3</v>
      </c>
    </row>
    <row r="19" spans="1:8" x14ac:dyDescent="0.35">
      <c r="A19" t="str">
        <f>Timeline!A5</f>
        <v>Phase 4</v>
      </c>
      <c r="B19" t="str">
        <f>Timeline!B5</f>
        <v>Testing and Validation</v>
      </c>
      <c r="C19">
        <f>VALUE(LEFT(Timeline!F5, FIND(" ", Timeline!F5)-1))</f>
        <v>2</v>
      </c>
      <c r="D19">
        <f t="shared" si="2"/>
        <v>7</v>
      </c>
      <c r="E19" t="b">
        <f>Timeline!G5</f>
        <v>0</v>
      </c>
      <c r="F19">
        <f t="shared" si="0"/>
        <v>0</v>
      </c>
      <c r="G19">
        <f>IF(AND(NOT(E19),COUNTIF(E$16:E19,FALSE)=1),C19,0)</f>
        <v>0</v>
      </c>
      <c r="H19">
        <f t="shared" si="1"/>
        <v>2</v>
      </c>
    </row>
    <row r="20" spans="1:8" x14ac:dyDescent="0.35">
      <c r="A20" t="str">
        <f>Timeline!A6</f>
        <v>Phase 5</v>
      </c>
      <c r="B20" t="str">
        <f>Timeline!B6</f>
        <v>Project Closure</v>
      </c>
      <c r="C20">
        <f>VALUE(LEFT(Timeline!F6, FIND(" ", Timeline!F6)-1))</f>
        <v>1</v>
      </c>
      <c r="D20">
        <f t="shared" si="2"/>
        <v>9</v>
      </c>
      <c r="E20" t="b">
        <f>Timeline!G6</f>
        <v>0</v>
      </c>
      <c r="F20">
        <f t="shared" si="0"/>
        <v>0</v>
      </c>
      <c r="G20">
        <f>IF(AND(NOT(E20),COUNTIF(E$16:E20,FALSE)=1),C20,0)</f>
        <v>0</v>
      </c>
      <c r="H20">
        <f t="shared" si="1"/>
        <v>1</v>
      </c>
    </row>
    <row r="24" spans="1:8" x14ac:dyDescent="0.35">
      <c r="A24" s="33" t="s">
        <v>163</v>
      </c>
      <c r="B24" s="33"/>
    </row>
    <row r="25" spans="1:8" x14ac:dyDescent="0.35">
      <c r="A25" t="s">
        <v>164</v>
      </c>
      <c r="B25" t="s">
        <v>165</v>
      </c>
    </row>
    <row r="26" spans="1:8" x14ac:dyDescent="0.35">
      <c r="A26" t="s">
        <v>166</v>
      </c>
      <c r="B26">
        <f>COUNTIFS('Work Planing'!A2:A16, "*.*", 'Work Planing'!E2:E16, TRUE) - COUNTIFS('Work Planing'!A2:A16, "*.0", 'Work Planing'!E2:E16, TRUE)</f>
        <v>4</v>
      </c>
    </row>
    <row r="27" spans="1:8" x14ac:dyDescent="0.35">
      <c r="A27" t="s">
        <v>167</v>
      </c>
      <c r="B27">
        <f>COUNTIFS('Work Planing'!A2:A16, "*.*", 'Work Planing'!E2:E16, FALSE) - COUNTIFS('Work Planing'!A2:A16, "*.0", 'Work Planing'!E2:E16, FALSE)</f>
        <v>7</v>
      </c>
    </row>
    <row r="28" spans="1:8" x14ac:dyDescent="0.35">
      <c r="A28" t="s">
        <v>168</v>
      </c>
      <c r="B28">
        <f>SUM(B26:B27)</f>
        <v>11</v>
      </c>
    </row>
    <row r="29" spans="1:8" x14ac:dyDescent="0.35">
      <c r="A29" t="s">
        <v>169</v>
      </c>
      <c r="B29" s="6">
        <f>B26/B28</f>
        <v>0.36363636363636365</v>
      </c>
    </row>
  </sheetData>
  <mergeCells count="4">
    <mergeCell ref="A1:B1"/>
    <mergeCell ref="A7:B7"/>
    <mergeCell ref="A14:E14"/>
    <mergeCell ref="A24:B24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Project Dashboard</vt:lpstr>
      <vt:lpstr>Timeline</vt:lpstr>
      <vt:lpstr>Work Planing</vt:lpstr>
      <vt:lpstr>Risk Register</vt:lpstr>
      <vt:lpstr>Auxiliar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Fernande</dc:creator>
  <cp:lastModifiedBy>Javier Fernande</cp:lastModifiedBy>
  <dcterms:created xsi:type="dcterms:W3CDTF">2026-10-23T15:58:47Z</dcterms:created>
  <dcterms:modified xsi:type="dcterms:W3CDTF">2026-10-24T11:29:07Z</dcterms:modified>
</cp:coreProperties>
</file>